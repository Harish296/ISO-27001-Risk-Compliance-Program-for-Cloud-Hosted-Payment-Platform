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NexaPay-Project\"/>
    </mc:Choice>
  </mc:AlternateContent>
  <xr:revisionPtr revIDLastSave="0" documentId="13_ncr:1_{B2D67B81-06FF-432C-A510-656C3C7AC436}" xr6:coauthVersionLast="47" xr6:coauthVersionMax="47" xr10:uidLastSave="{00000000-0000-0000-0000-000000000000}"/>
  <bookViews>
    <workbookView xWindow="-120" yWindow="-120" windowWidth="29040" windowHeight="15720" xr2:uid="{03715062-B002-44DF-BAF8-74C20ADB44FF}"/>
  </bookViews>
  <sheets>
    <sheet name="Risk Register" sheetId="1" r:id="rId1"/>
    <sheet name="Risk Matrix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H4" i="1" s="1"/>
  <c r="G3" i="1"/>
  <c r="H3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2" i="1"/>
  <c r="H2" i="1" s="1"/>
</calcChain>
</file>

<file path=xl/sharedStrings.xml><?xml version="1.0" encoding="utf-8"?>
<sst xmlns="http://schemas.openxmlformats.org/spreadsheetml/2006/main" count="151" uniqueCount="106">
  <si>
    <t>Risk ID</t>
  </si>
  <si>
    <t>Asset</t>
  </si>
  <si>
    <t>Threat</t>
  </si>
  <si>
    <t>Vulnerability</t>
  </si>
  <si>
    <t>Likelihood(1-5)</t>
  </si>
  <si>
    <t>Impact(1-5)</t>
  </si>
  <si>
    <t>Risk Score</t>
  </si>
  <si>
    <t>Risk Level</t>
  </si>
  <si>
    <t>ISO 27001 Control</t>
  </si>
  <si>
    <t>Treatment</t>
  </si>
  <si>
    <t>Treatment Action</t>
  </si>
  <si>
    <t>AWS Cloud Infrastructure</t>
  </si>
  <si>
    <t>PostgresSQL Database</t>
  </si>
  <si>
    <t>Microsoft 365</t>
  </si>
  <si>
    <t>Employee Laptops</t>
  </si>
  <si>
    <t>Payment Processing Application</t>
  </si>
  <si>
    <t>Customer PII data</t>
  </si>
  <si>
    <t>Payment transaction records</t>
  </si>
  <si>
    <t>Employee credentials</t>
  </si>
  <si>
    <t>Vendor &amp; Third Party Contracts</t>
  </si>
  <si>
    <t>Employees &amp; End Users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</si>
  <si>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</si>
  <si>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</si>
  <si>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</si>
  <si>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</si>
  <si>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</si>
  <si>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</si>
  <si>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</si>
  <si>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</si>
  <si>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</si>
  <si>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</si>
  <si>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Data Theft via SQL Injection Attacks</t>
  </si>
  <si>
    <t xml:space="preserve">Account takeover via phishing </t>
  </si>
  <si>
    <t>Data exposure from unsecured personal devices</t>
  </si>
  <si>
    <t>Data breach caused by unauthorized access</t>
  </si>
  <si>
    <t>Unauthorized access through misconfigured S3 buckets</t>
  </si>
  <si>
    <t>Reputational damage resulting from a data breach</t>
  </si>
  <si>
    <t>Sensitive data exposure caused by third party security breach</t>
  </si>
  <si>
    <t>Lack of cybersecurity awareness from staffs</t>
  </si>
  <si>
    <t>System compromise due to password reuse</t>
  </si>
  <si>
    <t>Sensitive data exposure due to insecure API endpoints</t>
  </si>
  <si>
    <t>S3 buckets are not configured with proper access restrictions</t>
  </si>
  <si>
    <t>Lack of MFA on employee accounts</t>
  </si>
  <si>
    <t>No MDM solution to manager personal devices</t>
  </si>
  <si>
    <t>API endpoints are exposed without proper encryption or authentication</t>
  </si>
  <si>
    <t>Lack of awareness leads to phishing attacks, credential compromise and data leakage</t>
  </si>
  <si>
    <t>No monitoring or alerting for transaction records</t>
  </si>
  <si>
    <t>Lack of password policy enforcement</t>
  </si>
  <si>
    <t>Third party vendors are onboarded without reviewing their security practices</t>
  </si>
  <si>
    <t>Inadequate access control mechanisms for customer PII.</t>
  </si>
  <si>
    <t>Application input validation is present, enabling SQL injection attacks.</t>
  </si>
  <si>
    <t>Likelihood</t>
  </si>
  <si>
    <t>Impact</t>
  </si>
  <si>
    <t>Rare</t>
  </si>
  <si>
    <t>Unlikely</t>
  </si>
  <si>
    <t>Likely</t>
  </si>
  <si>
    <t>A.6.3 Information Security awareness, education and training</t>
  </si>
  <si>
    <t>A.5.20 Addressing information security within supplier agreements</t>
  </si>
  <si>
    <t>A.8.5 Secure Authentication</t>
  </si>
  <si>
    <t>A.8.1 User endpoint devices</t>
  </si>
  <si>
    <t>A.8.24 Use of Cryptography</t>
  </si>
  <si>
    <t>A.8.8 Management of techinical vulnerabilities</t>
  </si>
  <si>
    <t>A.5.23 Information security for use of cloud services</t>
  </si>
  <si>
    <t>A.5.15 Access Control</t>
  </si>
  <si>
    <t>A.5.24 Information security incident management planning and preparation</t>
  </si>
  <si>
    <t>A.5.17 Authentication Information</t>
  </si>
  <si>
    <t>Mitigate</t>
  </si>
  <si>
    <t>Accept</t>
  </si>
  <si>
    <t>Possible</t>
  </si>
  <si>
    <t>Certain</t>
  </si>
  <si>
    <t>Negligible</t>
  </si>
  <si>
    <t>Minor</t>
  </si>
  <si>
    <t>Moderate</t>
  </si>
  <si>
    <t>Major</t>
  </si>
  <si>
    <t>Severe</t>
  </si>
  <si>
    <t>Critical</t>
  </si>
  <si>
    <t>Low</t>
  </si>
  <si>
    <t>Medium</t>
  </si>
  <si>
    <t>High</t>
  </si>
  <si>
    <t>Restrict S3 bucket permissions and enable public access blocking</t>
  </si>
  <si>
    <t>Conduct code review and implement input validation on all database queries</t>
  </si>
  <si>
    <t>Enforce MFA on all Microsoft 365 accounts</t>
  </si>
  <si>
    <t>Deploy MDM solution to enforce security policies on all employee devices</t>
  </si>
  <si>
    <t>Implement TLS encryption and authentication controls on all API endpoints</t>
  </si>
  <si>
    <t>Implement role based access control and conduct access reviews periodically</t>
  </si>
  <si>
    <t>Develop and document a formal incident response plan</t>
  </si>
  <si>
    <t>Enforce password policy across organization</t>
  </si>
  <si>
    <t>Conduct vendor security assessments and include data protection clauses in contracts</t>
  </si>
  <si>
    <t>Provide security awareness training for employees</t>
  </si>
  <si>
    <t>Cloud Operations Lead</t>
  </si>
  <si>
    <t>Database Administrator</t>
  </si>
  <si>
    <t>IT Admin</t>
  </si>
  <si>
    <t>Application Owner</t>
  </si>
  <si>
    <t>IAM Team</t>
  </si>
  <si>
    <t>Compliance Officer</t>
  </si>
  <si>
    <t>Human Resources</t>
  </si>
  <si>
    <t>CISO</t>
  </si>
  <si>
    <t>Risk Owner</t>
  </si>
  <si>
    <t>Existing Controls</t>
  </si>
  <si>
    <t>None</t>
  </si>
  <si>
    <t>Basic Spam Filtering</t>
  </si>
  <si>
    <t>Basic contract with no security clause</t>
  </si>
  <si>
    <t>Status</t>
  </si>
  <si>
    <t>Open</t>
  </si>
  <si>
    <t>In-Progress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</si>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</sst>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611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 applyBorder="1"/>
    <xf numFmtId="0" fontId="0" fillId="2" borderId="0" xfId="0" applyFill="1" applyBorder="1"/>
    <xf numFmtId="0" fontId="0" fillId="2" borderId="9" xfId="0" applyFill="1" applyBorder="1"/>
    <xf numFmtId="0" fontId="0" fillId="5" borderId="0" xfId="0" applyFill="1" applyBorder="1"/>
    <xf numFmtId="0" fontId="0" fillId="5" borderId="9" xfId="0" applyFill="1" applyBorder="1"/>
    <xf numFmtId="0" fontId="0" fillId="3" borderId="9" xfId="0" applyFill="1" applyBorder="1"/>
    <xf numFmtId="0" fontId="0" fillId="4" borderId="10" xfId="0" applyFill="1" applyBorder="1"/>
    <xf numFmtId="0" fontId="0" fillId="2" borderId="4" xfId="0" applyFill="1" applyBorder="1"/>
    <xf numFmtId="0" fontId="0" fillId="5" borderId="4" xfId="0" applyFill="1" applyBorder="1"/>
    <xf numFmtId="0" fontId="0" fillId="3" borderId="4" xfId="0" applyFill="1" applyBorder="1"/>
    <xf numFmtId="0" fontId="0" fillId="3" borderId="3" xfId="0" applyFill="1" applyBorder="1"/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 patternType="solid"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EE61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9F01-3080-4694-ABE8-055EF3D81925}">
  <dimension ref="A1:N20"/>
  <sheetViews>
    <sheetView tabSelected="1" workbookViewId="0">
      <selection activeCell="C20" sqref="C20"/>
    </sheetView>
  </sheetViews>
  <sheetFormatPr defaultRowHeight="15" x14ac:dyDescent="0.25"/>
  <cols>
    <col min="1" max="1" width="6.85546875" bestFit="1" customWidth="1"/>
    <col min="2" max="2" width="30" bestFit="1" customWidth="1"/>
    <col min="3" max="3" width="56.42578125" bestFit="1" customWidth="1"/>
    <col min="4" max="4" width="77.85546875" bestFit="1" customWidth="1"/>
    <col min="5" max="5" width="11.140625" bestFit="1" customWidth="1"/>
    <col min="6" max="6" width="14.5703125" bestFit="1" customWidth="1"/>
    <col min="7" max="7" width="9.85546875" bestFit="1" customWidth="1"/>
    <col min="8" max="8" width="9.7109375" bestFit="1" customWidth="1"/>
    <col min="9" max="9" width="69.42578125" bestFit="1" customWidth="1"/>
    <col min="10" max="10" width="34.42578125" bestFit="1" customWidth="1"/>
    <col min="11" max="11" width="10.28515625" bestFit="1" customWidth="1"/>
    <col min="12" max="12" width="78.42578125" bestFit="1" customWidth="1"/>
    <col min="13" max="13" width="22.28515625" bestFit="1" customWidth="1"/>
    <col min="14" max="14" width="11" bestFit="1" customWidth="1"/>
  </cols>
  <sheetData>
    <row r="1" spans="1:14" s="6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5</v>
      </c>
      <c r="F1" s="25" t="s">
        <v>4</v>
      </c>
      <c r="G1" s="25" t="s">
        <v>6</v>
      </c>
      <c r="H1" s="25" t="s">
        <v>7</v>
      </c>
      <c r="I1" s="25" t="s">
        <v>8</v>
      </c>
      <c r="J1" s="26" t="s">
        <v>98</v>
      </c>
      <c r="K1" s="25" t="s">
        <v>9</v>
      </c>
      <c r="L1" s="25" t="s">
        <v>10</v>
      </c>
      <c r="M1" s="26" t="s">
        <v>97</v>
      </c>
      <c r="N1" s="25" t="s">
        <v>102</v>
      </c>
    </row>
    <row r="2" spans="1:14" x14ac:dyDescent="0.25">
      <c r="A2" s="1" t="s">
        <v>21</v>
      </c>
      <c r="B2" s="1" t="s">
        <v>11</v>
      </c>
      <c r="C2" s="1" t="s">
        <v>35</v>
      </c>
      <c r="D2" s="1" t="s">
        <v>41</v>
      </c>
      <c r="E2" s="2">
        <v>5</v>
      </c>
      <c r="F2" s="2">
        <v>4</v>
      </c>
      <c r="G2" s="2">
        <f>F2*E2</f>
        <v>20</v>
      </c>
      <c r="H2" s="1" t="str">
        <f>IF(G2&lt;=5,"Low",
   IF(G2&lt;=11,"Medium",
      IF(G2&lt;=19,"High",
         IF(G2&lt;=25,"Critical",""))))</f>
        <v>Critical</v>
      </c>
      <c r="I2" s="1" t="s">
        <v>62</v>
      </c>
      <c r="J2" s="5" t="s">
        <v>99</v>
      </c>
      <c r="K2" s="1" t="s">
        <v>66</v>
      </c>
      <c r="L2" s="1" t="s">
        <v>79</v>
      </c>
      <c r="M2" s="1" t="s">
        <v>89</v>
      </c>
      <c r="N2" s="5" t="s">
        <v>103</v>
      </c>
    </row>
    <row r="3" spans="1:14" x14ac:dyDescent="0.25">
      <c r="A3" s="1" t="s">
        <v>22</v>
      </c>
      <c r="B3" s="1" t="s">
        <v>12</v>
      </c>
      <c r="C3" s="1" t="s">
        <v>31</v>
      </c>
      <c r="D3" s="1" t="s">
        <v>50</v>
      </c>
      <c r="E3" s="2">
        <v>4</v>
      </c>
      <c r="F3" s="2">
        <v>3</v>
      </c>
      <c r="G3" s="2">
        <f>F3*E3</f>
        <v>12</v>
      </c>
      <c r="H3" s="1" t="str">
        <f t="shared" ref="H3:H11" si="0">IF(G3&lt;=5,"Low",
   IF(G3&lt;=11,"Medium",
      IF(G3&lt;=19,"High",
         IF(G3&lt;=25,"Critical",""))))</f>
        <v>High</v>
      </c>
      <c r="I3" s="1" t="s">
        <v>61</v>
      </c>
      <c r="J3" s="5" t="s">
        <v>99</v>
      </c>
      <c r="K3" s="1" t="s">
        <v>66</v>
      </c>
      <c r="L3" s="1" t="s">
        <v>80</v>
      </c>
      <c r="M3" s="1" t="s">
        <v>90</v>
      </c>
      <c r="N3" s="5" t="s">
        <v>103</v>
      </c>
    </row>
    <row r="4" spans="1:14" x14ac:dyDescent="0.25">
      <c r="A4" s="1" t="s">
        <v>23</v>
      </c>
      <c r="B4" s="1" t="s">
        <v>13</v>
      </c>
      <c r="C4" s="1" t="s">
        <v>32</v>
      </c>
      <c r="D4" s="1" t="s">
        <v>42</v>
      </c>
      <c r="E4" s="2">
        <v>5</v>
      </c>
      <c r="F4" s="2">
        <v>5</v>
      </c>
      <c r="G4" s="2">
        <f>F4*E4</f>
        <v>25</v>
      </c>
      <c r="H4" s="1" t="str">
        <f t="shared" si="0"/>
        <v>Critical</v>
      </c>
      <c r="I4" s="1" t="s">
        <v>58</v>
      </c>
      <c r="J4" s="5" t="s">
        <v>100</v>
      </c>
      <c r="K4" s="1" t="s">
        <v>66</v>
      </c>
      <c r="L4" s="1" t="s">
        <v>81</v>
      </c>
      <c r="M4" s="1" t="s">
        <v>96</v>
      </c>
      <c r="N4" s="5" t="s">
        <v>105</v>
      </c>
    </row>
    <row r="5" spans="1:14" x14ac:dyDescent="0.25">
      <c r="A5" s="1" t="s">
        <v>24</v>
      </c>
      <c r="B5" s="1" t="s">
        <v>14</v>
      </c>
      <c r="C5" s="1" t="s">
        <v>33</v>
      </c>
      <c r="D5" s="1" t="s">
        <v>43</v>
      </c>
      <c r="E5" s="2">
        <v>3</v>
      </c>
      <c r="F5" s="2">
        <v>2</v>
      </c>
      <c r="G5" s="2">
        <f>F5*E5</f>
        <v>6</v>
      </c>
      <c r="H5" s="1" t="str">
        <f t="shared" si="0"/>
        <v>Medium</v>
      </c>
      <c r="I5" s="1" t="s">
        <v>59</v>
      </c>
      <c r="J5" s="5" t="s">
        <v>99</v>
      </c>
      <c r="K5" s="1" t="s">
        <v>66</v>
      </c>
      <c r="L5" s="1" t="s">
        <v>82</v>
      </c>
      <c r="M5" s="1" t="s">
        <v>91</v>
      </c>
      <c r="N5" s="5" t="s">
        <v>103</v>
      </c>
    </row>
    <row r="6" spans="1:14" x14ac:dyDescent="0.25">
      <c r="A6" s="1" t="s">
        <v>25</v>
      </c>
      <c r="B6" s="1" t="s">
        <v>15</v>
      </c>
      <c r="C6" s="1" t="s">
        <v>40</v>
      </c>
      <c r="D6" s="1" t="s">
        <v>44</v>
      </c>
      <c r="E6" s="2">
        <v>5</v>
      </c>
      <c r="F6" s="2">
        <v>4</v>
      </c>
      <c r="G6" s="2">
        <f>F6*E6</f>
        <v>20</v>
      </c>
      <c r="H6" s="1" t="str">
        <f t="shared" si="0"/>
        <v>Critical</v>
      </c>
      <c r="I6" s="1" t="s">
        <v>60</v>
      </c>
      <c r="J6" s="5" t="s">
        <v>99</v>
      </c>
      <c r="K6" s="1" t="s">
        <v>66</v>
      </c>
      <c r="L6" s="1" t="s">
        <v>83</v>
      </c>
      <c r="M6" s="1" t="s">
        <v>92</v>
      </c>
      <c r="N6" s="5" t="s">
        <v>104</v>
      </c>
    </row>
    <row r="7" spans="1:14" x14ac:dyDescent="0.25">
      <c r="A7" s="1" t="s">
        <v>26</v>
      </c>
      <c r="B7" s="1" t="s">
        <v>16</v>
      </c>
      <c r="C7" s="1" t="s">
        <v>34</v>
      </c>
      <c r="D7" s="1" t="s">
        <v>49</v>
      </c>
      <c r="E7" s="2">
        <v>4</v>
      </c>
      <c r="F7" s="2">
        <v>3</v>
      </c>
      <c r="G7" s="2">
        <f>F7*E7</f>
        <v>12</v>
      </c>
      <c r="H7" s="1" t="str">
        <f t="shared" si="0"/>
        <v>High</v>
      </c>
      <c r="I7" s="1" t="s">
        <v>63</v>
      </c>
      <c r="J7" s="5" t="s">
        <v>99</v>
      </c>
      <c r="K7" s="1" t="s">
        <v>66</v>
      </c>
      <c r="L7" s="1" t="s">
        <v>84</v>
      </c>
      <c r="M7" s="1" t="s">
        <v>96</v>
      </c>
      <c r="N7" s="5" t="s">
        <v>104</v>
      </c>
    </row>
    <row r="8" spans="1:14" x14ac:dyDescent="0.25">
      <c r="A8" s="1" t="s">
        <v>27</v>
      </c>
      <c r="B8" s="1" t="s">
        <v>17</v>
      </c>
      <c r="C8" s="1" t="s">
        <v>36</v>
      </c>
      <c r="D8" s="1" t="s">
        <v>46</v>
      </c>
      <c r="E8" s="2">
        <v>4</v>
      </c>
      <c r="F8" s="2">
        <v>3</v>
      </c>
      <c r="G8" s="2">
        <f>F8*E8</f>
        <v>12</v>
      </c>
      <c r="H8" s="1" t="str">
        <f t="shared" si="0"/>
        <v>High</v>
      </c>
      <c r="I8" s="1" t="s">
        <v>64</v>
      </c>
      <c r="J8" s="5" t="s">
        <v>99</v>
      </c>
      <c r="K8" s="1" t="s">
        <v>66</v>
      </c>
      <c r="L8" s="1" t="s">
        <v>85</v>
      </c>
      <c r="M8" s="1" t="s">
        <v>96</v>
      </c>
      <c r="N8" s="5" t="s">
        <v>103</v>
      </c>
    </row>
    <row r="9" spans="1:14" x14ac:dyDescent="0.25">
      <c r="A9" s="1" t="s">
        <v>28</v>
      </c>
      <c r="B9" s="1" t="s">
        <v>18</v>
      </c>
      <c r="C9" s="1" t="s">
        <v>39</v>
      </c>
      <c r="D9" s="1" t="s">
        <v>47</v>
      </c>
      <c r="E9" s="2">
        <v>3</v>
      </c>
      <c r="F9" s="2">
        <v>2</v>
      </c>
      <c r="G9" s="2">
        <f>F9*E9</f>
        <v>6</v>
      </c>
      <c r="H9" s="1" t="str">
        <f t="shared" si="0"/>
        <v>Medium</v>
      </c>
      <c r="I9" s="5" t="s">
        <v>65</v>
      </c>
      <c r="J9" s="5" t="s">
        <v>99</v>
      </c>
      <c r="K9" s="1" t="s">
        <v>66</v>
      </c>
      <c r="L9" s="1" t="s">
        <v>86</v>
      </c>
      <c r="M9" s="1" t="s">
        <v>93</v>
      </c>
      <c r="N9" s="5" t="s">
        <v>104</v>
      </c>
    </row>
    <row r="10" spans="1:14" x14ac:dyDescent="0.25">
      <c r="A10" s="1" t="s">
        <v>29</v>
      </c>
      <c r="B10" s="1" t="s">
        <v>19</v>
      </c>
      <c r="C10" s="1" t="s">
        <v>37</v>
      </c>
      <c r="D10" s="1" t="s">
        <v>48</v>
      </c>
      <c r="E10" s="2">
        <v>4</v>
      </c>
      <c r="F10" s="2">
        <v>3</v>
      </c>
      <c r="G10" s="2">
        <f>F10*E10</f>
        <v>12</v>
      </c>
      <c r="H10" s="1" t="str">
        <f t="shared" si="0"/>
        <v>High</v>
      </c>
      <c r="I10" s="1" t="s">
        <v>57</v>
      </c>
      <c r="J10" s="5" t="s">
        <v>101</v>
      </c>
      <c r="K10" s="1" t="s">
        <v>66</v>
      </c>
      <c r="L10" s="1" t="s">
        <v>87</v>
      </c>
      <c r="M10" s="1" t="s">
        <v>94</v>
      </c>
      <c r="N10" s="5" t="s">
        <v>103</v>
      </c>
    </row>
    <row r="11" spans="1:14" x14ac:dyDescent="0.25">
      <c r="A11" s="1" t="s">
        <v>30</v>
      </c>
      <c r="B11" s="1" t="s">
        <v>20</v>
      </c>
      <c r="C11" s="1" t="s">
        <v>38</v>
      </c>
      <c r="D11" s="1" t="s">
        <v>45</v>
      </c>
      <c r="E11" s="2">
        <v>2</v>
      </c>
      <c r="F11" s="2">
        <v>1</v>
      </c>
      <c r="G11" s="2">
        <f>F11*E11</f>
        <v>2</v>
      </c>
      <c r="H11" s="1" t="str">
        <f t="shared" si="0"/>
        <v>Low</v>
      </c>
      <c r="I11" s="1" t="s">
        <v>56</v>
      </c>
      <c r="J11" s="5" t="s">
        <v>99</v>
      </c>
      <c r="K11" s="1" t="s">
        <v>67</v>
      </c>
      <c r="L11" s="1" t="s">
        <v>88</v>
      </c>
      <c r="M11" s="1" t="s">
        <v>95</v>
      </c>
      <c r="N11" s="5" t="s">
        <v>105</v>
      </c>
    </row>
    <row r="20" spans="8:10" x14ac:dyDescent="0.25">
      <c r="H20" s="3"/>
      <c r="I20" s="4"/>
      <c r="J20" s="4"/>
    </row>
  </sheetData>
  <phoneticPr fontId="2" type="noConversion"/>
  <conditionalFormatting sqref="H1:H1048576">
    <cfRule type="cellIs" dxfId="3" priority="1" operator="equal">
      <formula>"Critical"</formula>
    </cfRule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DBF0-04AF-444F-9CE2-F9105CA332A8}">
  <dimension ref="K13:Q19"/>
  <sheetViews>
    <sheetView workbookViewId="0">
      <selection activeCell="J31" sqref="J31"/>
    </sheetView>
  </sheetViews>
  <sheetFormatPr defaultRowHeight="15" x14ac:dyDescent="0.25"/>
  <cols>
    <col min="12" max="12" width="10.140625" bestFit="1" customWidth="1"/>
    <col min="13" max="13" width="5" bestFit="1" customWidth="1"/>
    <col min="14" max="17" width="8.42578125" bestFit="1" customWidth="1"/>
  </cols>
  <sheetData>
    <row r="13" spans="11:17" ht="18.75" x14ac:dyDescent="0.3">
      <c r="L13" s="24" t="s">
        <v>51</v>
      </c>
      <c r="M13" s="24"/>
      <c r="N13" s="24"/>
      <c r="O13" s="24"/>
      <c r="P13" s="24"/>
      <c r="Q13" s="24"/>
    </row>
    <row r="14" spans="11:17" x14ac:dyDescent="0.25">
      <c r="M14" s="7" t="s">
        <v>53</v>
      </c>
      <c r="N14" s="7" t="s">
        <v>54</v>
      </c>
      <c r="O14" s="7" t="s">
        <v>68</v>
      </c>
      <c r="P14" s="7" t="s">
        <v>55</v>
      </c>
      <c r="Q14" s="7" t="s">
        <v>69</v>
      </c>
    </row>
    <row r="15" spans="11:17" x14ac:dyDescent="0.25">
      <c r="K15" s="23" t="s">
        <v>52</v>
      </c>
      <c r="L15" s="7" t="s">
        <v>70</v>
      </c>
      <c r="M15" s="8" t="s">
        <v>76</v>
      </c>
      <c r="N15" s="9" t="s">
        <v>76</v>
      </c>
      <c r="O15" s="9" t="s">
        <v>76</v>
      </c>
      <c r="P15" s="9" t="s">
        <v>76</v>
      </c>
      <c r="Q15" s="10" t="s">
        <v>76</v>
      </c>
    </row>
    <row r="16" spans="11:17" x14ac:dyDescent="0.25">
      <c r="K16" s="23"/>
      <c r="L16" s="7" t="s">
        <v>71</v>
      </c>
      <c r="M16" s="11" t="s">
        <v>76</v>
      </c>
      <c r="N16" s="12" t="s">
        <v>76</v>
      </c>
      <c r="O16" s="13" t="s">
        <v>77</v>
      </c>
      <c r="P16" s="13" t="s">
        <v>77</v>
      </c>
      <c r="Q16" s="14" t="s">
        <v>77</v>
      </c>
    </row>
    <row r="17" spans="11:17" x14ac:dyDescent="0.25">
      <c r="K17" s="23"/>
      <c r="L17" s="7" t="s">
        <v>72</v>
      </c>
      <c r="M17" s="11" t="s">
        <v>76</v>
      </c>
      <c r="N17" s="13" t="s">
        <v>77</v>
      </c>
      <c r="O17" s="13" t="s">
        <v>77</v>
      </c>
      <c r="P17" s="15" t="s">
        <v>78</v>
      </c>
      <c r="Q17" s="16" t="s">
        <v>78</v>
      </c>
    </row>
    <row r="18" spans="11:17" x14ac:dyDescent="0.25">
      <c r="K18" s="23"/>
      <c r="L18" s="7" t="s">
        <v>73</v>
      </c>
      <c r="M18" s="11" t="s">
        <v>76</v>
      </c>
      <c r="N18" s="13" t="s">
        <v>77</v>
      </c>
      <c r="O18" s="15" t="s">
        <v>78</v>
      </c>
      <c r="P18" s="15" t="s">
        <v>78</v>
      </c>
      <c r="Q18" s="17" t="s">
        <v>75</v>
      </c>
    </row>
    <row r="19" spans="11:17" x14ac:dyDescent="0.25">
      <c r="K19" s="23"/>
      <c r="L19" s="7" t="s">
        <v>74</v>
      </c>
      <c r="M19" s="18" t="s">
        <v>76</v>
      </c>
      <c r="N19" s="19" t="s">
        <v>77</v>
      </c>
      <c r="O19" s="20" t="s">
        <v>78</v>
      </c>
      <c r="P19" s="21" t="s">
        <v>75</v>
      </c>
      <c r="Q19" s="22" t="s">
        <v>75</v>
      </c>
    </row>
  </sheetData>
  <mergeCells count="2">
    <mergeCell ref="L13:Q13"/>
    <mergeCell ref="K15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</dc:creator>
  <cp:lastModifiedBy>Harish S</cp:lastModifiedBy>
  <dcterms:created xsi:type="dcterms:W3CDTF">2026-03-04T06:34:05Z</dcterms:created>
  <dcterms:modified xsi:type="dcterms:W3CDTF">2026-03-05T06:33:44Z</dcterms:modified>
</cp:coreProperties>
</file>